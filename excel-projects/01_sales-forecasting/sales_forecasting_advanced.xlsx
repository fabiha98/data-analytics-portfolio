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F8EA6902-DB26-457F-A2B4-12E6C515AAB2}" xr6:coauthVersionLast="47" xr6:coauthVersionMax="47" xr10:uidLastSave="{00000000-0000-0000-0000-000000000000}"/>
  <bookViews>
    <workbookView xWindow="-98" yWindow="-98" windowWidth="27076" windowHeight="16395" activeTab="6" xr2:uid="{00000000-000D-0000-FFFF-FFFF00000000}"/>
  </bookViews>
  <sheets>
    <sheet name="Raw_Sales_Data" sheetId="1" r:id="rId1"/>
    <sheet name="Master_Product" sheetId="2" r:id="rId2"/>
    <sheet name="Master_Region" sheetId="3" r:id="rId3"/>
    <sheet name="Cleaned_Data" sheetId="4" r:id="rId4"/>
    <sheet name="Forecast_Model" sheetId="6" r:id="rId5"/>
    <sheet name="Scenario_Analysis" sheetId="7" r:id="rId6"/>
    <sheet name="Insight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H7" i="4"/>
  <c r="H6" i="4"/>
  <c r="H5" i="4"/>
  <c r="H4" i="4"/>
  <c r="H3" i="4"/>
  <c r="H2" i="4"/>
  <c r="G7" i="4"/>
  <c r="G6" i="4"/>
  <c r="G5" i="4"/>
  <c r="G4" i="4"/>
  <c r="G3" i="4"/>
  <c r="G2" i="4"/>
  <c r="F7" i="4" l="1"/>
  <c r="E7" i="4"/>
  <c r="D7" i="4"/>
  <c r="C7" i="4"/>
  <c r="B7" i="4"/>
  <c r="I7" i="4" s="1"/>
  <c r="A7" i="4"/>
  <c r="I6" i="4"/>
  <c r="F6" i="4"/>
  <c r="E6" i="4"/>
  <c r="D6" i="4"/>
  <c r="C6" i="4"/>
  <c r="B6" i="4"/>
  <c r="A6" i="4"/>
  <c r="F5" i="4"/>
  <c r="E5" i="4"/>
  <c r="D5" i="4"/>
  <c r="C5" i="4"/>
  <c r="B5" i="4"/>
  <c r="I5" i="4" s="1"/>
  <c r="A5" i="4"/>
  <c r="F4" i="4"/>
  <c r="E4" i="4"/>
  <c r="D4" i="4"/>
  <c r="C4" i="4"/>
  <c r="B4" i="4"/>
  <c r="I4" i="4" s="1"/>
  <c r="A4" i="4"/>
  <c r="I3" i="4"/>
  <c r="F3" i="4"/>
  <c r="E3" i="4"/>
  <c r="D3" i="4"/>
  <c r="C3" i="4"/>
  <c r="B3" i="4"/>
  <c r="A3" i="4"/>
  <c r="I2" i="4"/>
  <c r="F2" i="4"/>
  <c r="B3" i="6" s="1"/>
  <c r="E2" i="4"/>
  <c r="D2" i="4"/>
  <c r="C2" i="4"/>
  <c r="B2" i="4"/>
  <c r="A2" i="4"/>
  <c r="B2" i="6" l="1"/>
  <c r="C4" i="7" l="1"/>
  <c r="C3" i="7"/>
  <c r="C2" i="7"/>
</calcChain>
</file>

<file path=xl/sharedStrings.xml><?xml version="1.0" encoding="utf-8"?>
<sst xmlns="http://schemas.openxmlformats.org/spreadsheetml/2006/main" count="83" uniqueCount="58">
  <si>
    <t>Order_ID</t>
  </si>
  <si>
    <t>Order_Date</t>
  </si>
  <si>
    <t>Product_Code</t>
  </si>
  <si>
    <t>Region</t>
  </si>
  <si>
    <t>Channel</t>
  </si>
  <si>
    <t>Sales_Amount</t>
  </si>
  <si>
    <t>O001</t>
  </si>
  <si>
    <t>2023-01-01</t>
  </si>
  <si>
    <t>P-01</t>
  </si>
  <si>
    <t>North</t>
  </si>
  <si>
    <t>Online</t>
  </si>
  <si>
    <t>O002</t>
  </si>
  <si>
    <t>2023-01-02</t>
  </si>
  <si>
    <t>P-02</t>
  </si>
  <si>
    <t>north</t>
  </si>
  <si>
    <t>Offline</t>
  </si>
  <si>
    <t>O003</t>
  </si>
  <si>
    <t>2023-01-03</t>
  </si>
  <si>
    <t>NORTH</t>
  </si>
  <si>
    <t>O004</t>
  </si>
  <si>
    <t>2023-02-05</t>
  </si>
  <si>
    <t>P-03</t>
  </si>
  <si>
    <t>South</t>
  </si>
  <si>
    <t>O005</t>
  </si>
  <si>
    <t>2023-03-10</t>
  </si>
  <si>
    <t>O006</t>
  </si>
  <si>
    <t>2023-04-12</t>
  </si>
  <si>
    <t>East</t>
  </si>
  <si>
    <t>Product_Name</t>
  </si>
  <si>
    <t>Category</t>
  </si>
  <si>
    <t>Margin_%</t>
  </si>
  <si>
    <t>Shampoo</t>
  </si>
  <si>
    <t>FMCG</t>
  </si>
  <si>
    <t>Soap</t>
  </si>
  <si>
    <t>Toothpaste</t>
  </si>
  <si>
    <t>Manager</t>
  </si>
  <si>
    <t>Amit</t>
  </si>
  <si>
    <t>Riya</t>
  </si>
  <si>
    <t>Kunal</t>
  </si>
  <si>
    <t>West</t>
  </si>
  <si>
    <t>Neha</t>
  </si>
  <si>
    <t>Region_Clean</t>
  </si>
  <si>
    <t>Month</t>
  </si>
  <si>
    <t>Metric</t>
  </si>
  <si>
    <t>Value</t>
  </si>
  <si>
    <t>Total Sales</t>
  </si>
  <si>
    <t>Average Monthly Sales</t>
  </si>
  <si>
    <t>Max Monthly Sales</t>
  </si>
  <si>
    <t>Scenario</t>
  </si>
  <si>
    <t>Growth_Rate</t>
  </si>
  <si>
    <t>Forecast_Sales</t>
  </si>
  <si>
    <t>Worst</t>
  </si>
  <si>
    <t>Base</t>
  </si>
  <si>
    <t>Best</t>
  </si>
  <si>
    <t>Key Business Insights</t>
  </si>
  <si>
    <t>• Data cleaned using TRIM and PROPER</t>
  </si>
  <si>
    <t>• Product details enriched using XLOOKUP</t>
  </si>
  <si>
    <t>• Scenario analysis supports planning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</si>
</sst>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G2" sqref="G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12000</v>
      </c>
    </row>
    <row r="3" spans="1:6" x14ac:dyDescent="0.4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9000</v>
      </c>
    </row>
    <row r="4" spans="1:6" x14ac:dyDescent="0.45">
      <c r="A4" t="s">
        <v>16</v>
      </c>
      <c r="B4" t="s">
        <v>17</v>
      </c>
      <c r="C4" t="s">
        <v>8</v>
      </c>
      <c r="D4" t="s">
        <v>18</v>
      </c>
      <c r="E4" t="s">
        <v>10</v>
      </c>
      <c r="F4">
        <v>13500</v>
      </c>
    </row>
    <row r="5" spans="1:6" x14ac:dyDescent="0.45">
      <c r="A5" t="s">
        <v>19</v>
      </c>
      <c r="B5" t="s">
        <v>20</v>
      </c>
      <c r="C5" t="s">
        <v>21</v>
      </c>
      <c r="D5" t="s">
        <v>22</v>
      </c>
      <c r="E5" t="s">
        <v>10</v>
      </c>
      <c r="F5">
        <v>15000</v>
      </c>
    </row>
    <row r="6" spans="1:6" x14ac:dyDescent="0.45">
      <c r="A6" t="s">
        <v>23</v>
      </c>
      <c r="B6" t="s">
        <v>24</v>
      </c>
      <c r="C6" t="s">
        <v>13</v>
      </c>
      <c r="D6" t="s">
        <v>22</v>
      </c>
      <c r="E6" t="s">
        <v>15</v>
      </c>
      <c r="F6">
        <v>11000</v>
      </c>
    </row>
    <row r="7" spans="1:6" x14ac:dyDescent="0.45">
      <c r="A7" t="s">
        <v>25</v>
      </c>
      <c r="B7" t="s">
        <v>26</v>
      </c>
      <c r="C7" t="s">
        <v>8</v>
      </c>
      <c r="D7" t="s">
        <v>27</v>
      </c>
      <c r="E7" t="s">
        <v>10</v>
      </c>
      <c r="F7">
        <v>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2" sqref="D2"/>
    </sheetView>
  </sheetViews>
  <sheetFormatPr defaultRowHeight="14.25" x14ac:dyDescent="0.45"/>
  <sheetData>
    <row r="1" spans="1:4" x14ac:dyDescent="0.45">
      <c r="A1" t="s">
        <v>2</v>
      </c>
      <c r="B1" t="s">
        <v>28</v>
      </c>
      <c r="C1" t="s">
        <v>29</v>
      </c>
      <c r="D1" t="s">
        <v>30</v>
      </c>
    </row>
    <row r="2" spans="1:4" x14ac:dyDescent="0.45">
      <c r="A2" t="s">
        <v>8</v>
      </c>
      <c r="B2" t="s">
        <v>31</v>
      </c>
      <c r="C2" t="s">
        <v>32</v>
      </c>
      <c r="D2">
        <v>0.35</v>
      </c>
    </row>
    <row r="3" spans="1:4" x14ac:dyDescent="0.45">
      <c r="A3" t="s">
        <v>13</v>
      </c>
      <c r="B3" t="s">
        <v>33</v>
      </c>
      <c r="C3" t="s">
        <v>32</v>
      </c>
      <c r="D3">
        <v>0.25</v>
      </c>
    </row>
    <row r="4" spans="1:4" x14ac:dyDescent="0.45">
      <c r="A4" t="s">
        <v>21</v>
      </c>
      <c r="B4" t="s">
        <v>34</v>
      </c>
      <c r="C4" t="s">
        <v>32</v>
      </c>
      <c r="D4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25" x14ac:dyDescent="0.45"/>
  <sheetData>
    <row r="1" spans="1:2" x14ac:dyDescent="0.45">
      <c r="A1" t="s">
        <v>3</v>
      </c>
      <c r="B1" t="s">
        <v>35</v>
      </c>
    </row>
    <row r="2" spans="1:2" x14ac:dyDescent="0.45">
      <c r="A2" t="s">
        <v>9</v>
      </c>
      <c r="B2" t="s">
        <v>36</v>
      </c>
    </row>
    <row r="3" spans="1:2" x14ac:dyDescent="0.45">
      <c r="A3" t="s">
        <v>22</v>
      </c>
      <c r="B3" t="s">
        <v>37</v>
      </c>
    </row>
    <row r="4" spans="1:2" x14ac:dyDescent="0.45">
      <c r="A4" t="s">
        <v>27</v>
      </c>
      <c r="B4" t="s">
        <v>38</v>
      </c>
    </row>
    <row r="5" spans="1:2" x14ac:dyDescent="0.45">
      <c r="A5" t="s">
        <v>39</v>
      </c>
      <c r="B5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H8" sqref="H8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41</v>
      </c>
      <c r="E1" t="s">
        <v>4</v>
      </c>
      <c r="F1" t="s">
        <v>5</v>
      </c>
      <c r="G1" t="s">
        <v>28</v>
      </c>
      <c r="H1" t="s">
        <v>30</v>
      </c>
      <c r="I1" t="s">
        <v>42</v>
      </c>
    </row>
    <row r="2" spans="1:9" x14ac:dyDescent="0.45">
      <c r="A2" t="str">
        <f>Raw_Sales_Data!A2</f>
        <v>O001</v>
      </c>
      <c r="B2" t="str">
        <f>Raw_Sales_Data!B2</f>
        <v>2023-01-01</v>
      </c>
      <c r="C2" t="str">
        <f>Raw_Sales_Data!C2</f>
        <v>P-01</v>
      </c>
      <c r="D2" t="str">
        <f>TRIM(PROPER(Raw_Sales_Data!D2))</f>
        <v>North</v>
      </c>
      <c r="E2" t="str">
        <f>Raw_Sales_Data!E2</f>
        <v>Online</v>
      </c>
      <c r="F2">
        <f>Raw_Sales_Data!F2</f>
        <v>12000</v>
      </c>
      <c r="G2" t="str">
        <f>_xlfn.XLOOKUP(C2,Master_Product!A:A,Master_Product!B:B)</f>
        <v>Shampoo</v>
      </c>
      <c r="H2">
        <f>_xlfn.XLOOKUP(C2,Master_Product!A:A,Master_Product!D:D)</f>
        <v>0.35</v>
      </c>
      <c r="I2" t="str">
        <f t="shared" ref="I2:I7" si="0">TEXT(B2,"mmm-yyyy")</f>
        <v>Jan-2023</v>
      </c>
    </row>
    <row r="3" spans="1:9" x14ac:dyDescent="0.45">
      <c r="A3" t="str">
        <f>Raw_Sales_Data!A3</f>
        <v>O002</v>
      </c>
      <c r="B3" t="str">
        <f>Raw_Sales_Data!B3</f>
        <v>2023-01-02</v>
      </c>
      <c r="C3" t="str">
        <f>Raw_Sales_Data!C3</f>
        <v>P-02</v>
      </c>
      <c r="D3" t="str">
        <f>TRIM(PROPER(Raw_Sales_Data!D3))</f>
        <v>North</v>
      </c>
      <c r="E3" t="str">
        <f>Raw_Sales_Data!E3</f>
        <v>Offline</v>
      </c>
      <c r="F3">
        <f>Raw_Sales_Data!F3</f>
        <v>9000</v>
      </c>
      <c r="G3" t="str">
        <f>_xlfn.XLOOKUP(C3,Master_Product!A:A,Master_Product!B:B)</f>
        <v>Soap</v>
      </c>
      <c r="H3">
        <f>_xlfn.XLOOKUP(C3,Master_Product!A:A,Master_Product!D:D)</f>
        <v>0.25</v>
      </c>
      <c r="I3" t="str">
        <f t="shared" si="0"/>
        <v>Jan-2023</v>
      </c>
    </row>
    <row r="4" spans="1:9" x14ac:dyDescent="0.45">
      <c r="A4" t="str">
        <f>Raw_Sales_Data!A4</f>
        <v>O003</v>
      </c>
      <c r="B4" t="str">
        <f>Raw_Sales_Data!B4</f>
        <v>2023-01-03</v>
      </c>
      <c r="C4" t="str">
        <f>Raw_Sales_Data!C4</f>
        <v>P-01</v>
      </c>
      <c r="D4" t="str">
        <f>TRIM(PROPER(Raw_Sales_Data!D4))</f>
        <v>North</v>
      </c>
      <c r="E4" t="str">
        <f>Raw_Sales_Data!E4</f>
        <v>Online</v>
      </c>
      <c r="F4">
        <f>Raw_Sales_Data!F4</f>
        <v>13500</v>
      </c>
      <c r="G4" t="str">
        <f>_xlfn.XLOOKUP(C4,Master_Product!A:A,Master_Product!B:B)</f>
        <v>Shampoo</v>
      </c>
      <c r="H4">
        <f>_xlfn.XLOOKUP(C4,Master_Product!A:A,Master_Product!D:D)</f>
        <v>0.35</v>
      </c>
      <c r="I4" t="str">
        <f t="shared" si="0"/>
        <v>Jan-2023</v>
      </c>
    </row>
    <row r="5" spans="1:9" x14ac:dyDescent="0.45">
      <c r="A5" t="str">
        <f>Raw_Sales_Data!A5</f>
        <v>O004</v>
      </c>
      <c r="B5" t="str">
        <f>Raw_Sales_Data!B5</f>
        <v>2023-02-05</v>
      </c>
      <c r="C5" t="str">
        <f>Raw_Sales_Data!C5</f>
        <v>P-03</v>
      </c>
      <c r="D5" t="str">
        <f>TRIM(PROPER(Raw_Sales_Data!D5))</f>
        <v>South</v>
      </c>
      <c r="E5" t="str">
        <f>Raw_Sales_Data!E5</f>
        <v>Online</v>
      </c>
      <c r="F5">
        <f>Raw_Sales_Data!F5</f>
        <v>15000</v>
      </c>
      <c r="G5" t="str">
        <f>_xlfn.XLOOKUP(C5,Master_Product!A:A,Master_Product!B:B)</f>
        <v>Toothpaste</v>
      </c>
      <c r="H5">
        <f>_xlfn.XLOOKUP(C5,Master_Product!A:A,Master_Product!D:D)</f>
        <v>0.3</v>
      </c>
      <c r="I5" t="str">
        <f t="shared" si="0"/>
        <v>Feb-2023</v>
      </c>
    </row>
    <row r="6" spans="1:9" x14ac:dyDescent="0.45">
      <c r="A6" t="str">
        <f>Raw_Sales_Data!A6</f>
        <v>O005</v>
      </c>
      <c r="B6" t="str">
        <f>Raw_Sales_Data!B6</f>
        <v>2023-03-10</v>
      </c>
      <c r="C6" t="str">
        <f>Raw_Sales_Data!C6</f>
        <v>P-02</v>
      </c>
      <c r="D6" t="str">
        <f>TRIM(PROPER(Raw_Sales_Data!D6))</f>
        <v>South</v>
      </c>
      <c r="E6" t="str">
        <f>Raw_Sales_Data!E6</f>
        <v>Offline</v>
      </c>
      <c r="F6">
        <f>Raw_Sales_Data!F6</f>
        <v>11000</v>
      </c>
      <c r="G6" t="str">
        <f>_xlfn.XLOOKUP(C6,Master_Product!A:A,Master_Product!B:B)</f>
        <v>Soap</v>
      </c>
      <c r="H6">
        <f>_xlfn.XLOOKUP(C6,Master_Product!A:A,Master_Product!D:D)</f>
        <v>0.25</v>
      </c>
      <c r="I6" t="str">
        <f t="shared" si="0"/>
        <v>Mar-2023</v>
      </c>
    </row>
    <row r="7" spans="1:9" x14ac:dyDescent="0.45">
      <c r="A7" t="str">
        <f>Raw_Sales_Data!A7</f>
        <v>O006</v>
      </c>
      <c r="B7" t="str">
        <f>Raw_Sales_Data!B7</f>
        <v>2023-04-12</v>
      </c>
      <c r="C7" t="str">
        <f>Raw_Sales_Data!C7</f>
        <v>P-01</v>
      </c>
      <c r="D7" t="str">
        <f>TRIM(PROPER(Raw_Sales_Data!D7))</f>
        <v>East</v>
      </c>
      <c r="E7" t="str">
        <f>Raw_Sales_Data!E7</f>
        <v>Online</v>
      </c>
      <c r="F7">
        <f>Raw_Sales_Data!F7</f>
        <v>16000</v>
      </c>
      <c r="G7" t="str">
        <f>_xlfn.XLOOKUP(C7,Master_Product!A:A,Master_Product!B:B)</f>
        <v>Shampoo</v>
      </c>
      <c r="H7">
        <f>_xlfn.XLOOKUP(C7,Master_Product!A:A,Master_Product!D:D)</f>
        <v>0.35</v>
      </c>
      <c r="I7" t="str">
        <f t="shared" si="0"/>
        <v>Apr-2023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5" sqref="B5"/>
    </sheetView>
  </sheetViews>
  <sheetFormatPr defaultRowHeight="14.25" x14ac:dyDescent="0.45"/>
  <cols>
    <col min="1" max="1" width="18.796875" bestFit="1" customWidth="1"/>
  </cols>
  <sheetData>
    <row r="1" spans="1:2" x14ac:dyDescent="0.45">
      <c r="A1" t="s">
        <v>43</v>
      </c>
      <c r="B1" t="s">
        <v>44</v>
      </c>
    </row>
    <row r="2" spans="1:2" x14ac:dyDescent="0.45">
      <c r="A2" t="s">
        <v>45</v>
      </c>
      <c r="B2">
        <f>SUM(Cleaned_Data!F:F)</f>
        <v>76500</v>
      </c>
    </row>
    <row r="3" spans="1:2" x14ac:dyDescent="0.45">
      <c r="A3" t="s">
        <v>46</v>
      </c>
      <c r="B3">
        <f>AVERAGE(Cleaned_Data!F:F)</f>
        <v>12750</v>
      </c>
    </row>
    <row r="4" spans="1:2" x14ac:dyDescent="0.45">
      <c r="A4" t="s">
        <v>47</v>
      </c>
      <c r="B4">
        <f>_xlfn.AGGREGATE(4,6,Cleaned_Data!F:F)</f>
        <v>16000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C4" sqref="C4"/>
    </sheetView>
  </sheetViews>
  <sheetFormatPr defaultRowHeight="14.25" x14ac:dyDescent="0.45"/>
  <sheetData>
    <row r="1" spans="1:3" x14ac:dyDescent="0.45">
      <c r="A1" t="s">
        <v>48</v>
      </c>
      <c r="B1" t="s">
        <v>49</v>
      </c>
      <c r="C1" t="s">
        <v>50</v>
      </c>
    </row>
    <row r="2" spans="1:3" x14ac:dyDescent="0.45">
      <c r="A2" t="s">
        <v>51</v>
      </c>
      <c r="B2">
        <v>-0.05</v>
      </c>
      <c r="C2">
        <f>Forecast_Model!B2*(1+B2)</f>
        <v>72675</v>
      </c>
    </row>
    <row r="3" spans="1:3" x14ac:dyDescent="0.45">
      <c r="A3" t="s">
        <v>52</v>
      </c>
      <c r="B3">
        <v>0.05</v>
      </c>
      <c r="C3">
        <f>Forecast_Model!B2*(1+B3)</f>
        <v>80325</v>
      </c>
    </row>
    <row r="4" spans="1:3" x14ac:dyDescent="0.45">
      <c r="A4" t="s">
        <v>53</v>
      </c>
      <c r="B4">
        <v>0.1</v>
      </c>
      <c r="C4">
        <f>Forecast_Model!B2*(1+B4)</f>
        <v>84150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"/>
  <sheetViews>
    <sheetView tabSelected="1" workbookViewId="0"/>
  </sheetViews>
  <sheetFormatPr defaultRowHeight="14.25" x14ac:dyDescent="0.45"/>
  <sheetData>
    <row r="1" spans="1:1" x14ac:dyDescent="0.45">
      <c r="A1" t="s">
        <v>54</v>
      </c>
    </row>
    <row r="3" spans="1:1" x14ac:dyDescent="0.45">
      <c r="A3" t="s">
        <v>55</v>
      </c>
    </row>
    <row r="4" spans="1:1" x14ac:dyDescent="0.45">
      <c r="A4" t="s">
        <v>56</v>
      </c>
    </row>
    <row r="5" spans="1:1" x14ac:dyDescent="0.45">
      <c r="A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Raw_Sales_Data</vt:lpstr>
      <vt:lpstr>Master_Product</vt:lpstr>
      <vt:lpstr>Master_Region</vt:lpstr>
      <vt:lpstr>Cleaned_Data</vt:lpstr>
      <vt:lpstr>Forecast_Model</vt:lpstr>
      <vt:lpstr>Scenario_Analysis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2026-01-23T05:48:18Z</dcterms:created>
  <dcterms:modified xsi:type="dcterms:W3CDTF">2026-01-26T06:54:38Z</dcterms:modified>
</cp:coreProperties>
</file>