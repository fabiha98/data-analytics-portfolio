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D6CD396B-798B-4C6F-BE98-04EFD986B8AE}" xr6:coauthVersionLast="47" xr6:coauthVersionMax="47" xr10:uidLastSave="{00000000-0000-0000-0000-000000000000}"/>
  <bookViews>
    <workbookView xWindow="-98" yWindow="-98" windowWidth="27076" windowHeight="16395" activeTab="2" xr2:uid="{00000000-000D-0000-FFFF-FFFF00000000}"/>
  </bookViews>
  <sheets>
    <sheet name="Raw_Data" sheetId="1" r:id="rId1"/>
    <sheet name="Cost_Structure" sheetId="2" r:id="rId2"/>
    <sheet name="Pricing_Model" sheetId="3" r:id="rId3"/>
    <sheet name="Scenario_Analysis" sheetId="4" r:id="rId4"/>
    <sheet name="Insight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3" l="1"/>
  <c r="E3" i="3"/>
  <c r="E2" i="3"/>
  <c r="D4" i="3" l="1"/>
  <c r="C4" i="3"/>
  <c r="B4" i="3"/>
  <c r="A4" i="3"/>
  <c r="C3" i="3"/>
  <c r="D3" i="3" s="1"/>
  <c r="B3" i="3"/>
  <c r="A3" i="3"/>
  <c r="C2" i="3"/>
  <c r="B2" i="3"/>
  <c r="D2" i="3" s="1"/>
  <c r="A2" i="3"/>
  <c r="F2" i="3" l="1"/>
  <c r="G2" i="3" s="1"/>
  <c r="F4" i="3"/>
  <c r="G4" i="3" s="1"/>
  <c r="F3" i="3"/>
  <c r="G3" i="3" s="1"/>
</calcChain>
</file>

<file path=xl/sharedStrings.xml><?xml version="1.0" encoding="utf-8"?>
<sst xmlns="http://schemas.openxmlformats.org/spreadsheetml/2006/main" count="33" uniqueCount="28">
  <si>
    <t>Product</t>
  </si>
  <si>
    <t>Base_Price</t>
  </si>
  <si>
    <t>Expected_Volume</t>
  </si>
  <si>
    <t>Shampoo</t>
  </si>
  <si>
    <t>Soap</t>
  </si>
  <si>
    <t>Toothpaste</t>
  </si>
  <si>
    <t>Variable_Cost</t>
  </si>
  <si>
    <t>Fixed_Cost</t>
  </si>
  <si>
    <t>Price</t>
  </si>
  <si>
    <t>Volume</t>
  </si>
  <si>
    <t>Revenue</t>
  </si>
  <si>
    <t>Variable Cost</t>
  </si>
  <si>
    <t>Gross Profit</t>
  </si>
  <si>
    <t>Margin %</t>
  </si>
  <si>
    <t>Scenario</t>
  </si>
  <si>
    <t>Price_Change</t>
  </si>
  <si>
    <t>Volume_Change</t>
  </si>
  <si>
    <t>Impact_On_Profit</t>
  </si>
  <si>
    <t>Discount</t>
  </si>
  <si>
    <t>Price ↓ increases volume but reduces margin</t>
  </si>
  <si>
    <t>Base</t>
  </si>
  <si>
    <t>Current pricing strategy</t>
  </si>
  <si>
    <t>Premium</t>
  </si>
  <si>
    <t>Higher margin, lower volume</t>
  </si>
  <si>
    <t>Key Business Insights</t>
  </si>
  <si>
    <t>• Shampoo generates highest absolute profit</t>
  </si>
  <si>
    <t>• Discounts improve volume but hurt margins</t>
  </si>
  <si>
    <t>• Premium pricing improves margins but risks volume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</si>
</sst>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120</v>
      </c>
      <c r="C2">
        <v>10000</v>
      </c>
    </row>
    <row r="3" spans="1:3" x14ac:dyDescent="0.45">
      <c r="A3" t="s">
        <v>4</v>
      </c>
      <c r="B3">
        <v>40</v>
      </c>
      <c r="C3">
        <v>25000</v>
      </c>
    </row>
    <row r="4" spans="1:3" x14ac:dyDescent="0.45">
      <c r="A4" t="s">
        <v>5</v>
      </c>
      <c r="B4">
        <v>90</v>
      </c>
      <c r="C4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6</v>
      </c>
      <c r="C1" t="s">
        <v>7</v>
      </c>
    </row>
    <row r="2" spans="1:3" x14ac:dyDescent="0.45">
      <c r="A2" t="s">
        <v>3</v>
      </c>
      <c r="B2">
        <v>70</v>
      </c>
      <c r="C2">
        <v>200000</v>
      </c>
    </row>
    <row r="3" spans="1:3" x14ac:dyDescent="0.45">
      <c r="A3" t="s">
        <v>4</v>
      </c>
      <c r="B3">
        <v>22</v>
      </c>
      <c r="C3">
        <v>120000</v>
      </c>
    </row>
    <row r="4" spans="1:3" x14ac:dyDescent="0.45">
      <c r="A4" t="s">
        <v>5</v>
      </c>
      <c r="B4">
        <v>55</v>
      </c>
      <c r="C4">
        <v>150000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tabSelected="1" workbookViewId="0">
      <selection activeCell="E5" sqref="E5"/>
    </sheetView>
  </sheetViews>
  <sheetFormatPr defaultRowHeight="14.25" x14ac:dyDescent="0.45"/>
  <sheetData>
    <row r="1" spans="1:7" x14ac:dyDescent="0.4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45">
      <c r="A2" t="str">
        <f>Raw_Data!A2</f>
        <v>Shampoo</v>
      </c>
      <c r="B2">
        <f>Raw_Data!B2</f>
        <v>120</v>
      </c>
      <c r="C2">
        <f>Raw_Data!C2</f>
        <v>10000</v>
      </c>
      <c r="D2">
        <f>B2*C2</f>
        <v>1200000</v>
      </c>
      <c r="E2">
        <f>_xlfn.XLOOKUP(A2,Cost_Structure!A:A,Cost_Structure!B:B)*C2</f>
        <v>700000</v>
      </c>
      <c r="F2">
        <f>D2-E2</f>
        <v>500000</v>
      </c>
      <c r="G2">
        <f>F2/D2</f>
        <v>0.41666666666666669</v>
      </c>
    </row>
    <row r="3" spans="1:7" x14ac:dyDescent="0.45">
      <c r="A3" t="str">
        <f>Raw_Data!A3</f>
        <v>Soap</v>
      </c>
      <c r="B3">
        <f>Raw_Data!B3</f>
        <v>40</v>
      </c>
      <c r="C3">
        <f>Raw_Data!C3</f>
        <v>25000</v>
      </c>
      <c r="D3">
        <f>B3*C3</f>
        <v>1000000</v>
      </c>
      <c r="E3">
        <f>_xlfn.XLOOKUP(A3,Cost_Structure!A:A,Cost_Structure!B:B)*C3</f>
        <v>550000</v>
      </c>
      <c r="F3">
        <f>D3-E3</f>
        <v>450000</v>
      </c>
      <c r="G3">
        <f>F3/D3</f>
        <v>0.45</v>
      </c>
    </row>
    <row r="4" spans="1:7" x14ac:dyDescent="0.45">
      <c r="A4" t="str">
        <f>Raw_Data!A4</f>
        <v>Toothpaste</v>
      </c>
      <c r="B4">
        <f>Raw_Data!B4</f>
        <v>90</v>
      </c>
      <c r="C4">
        <f>Raw_Data!C4</f>
        <v>15000</v>
      </c>
      <c r="D4">
        <f>B4*C4</f>
        <v>1350000</v>
      </c>
      <c r="E4">
        <f>_xlfn.XLOOKUP(A4,Cost_Structure!A:A,Cost_Structure!B:B)*C4</f>
        <v>825000</v>
      </c>
      <c r="F4">
        <f>D4-E4</f>
        <v>525000</v>
      </c>
      <c r="G4">
        <f>F4/D4</f>
        <v>0.3888888888888889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4.25" x14ac:dyDescent="0.45"/>
  <sheetData>
    <row r="1" spans="1:4" x14ac:dyDescent="0.45">
      <c r="A1" t="s">
        <v>14</v>
      </c>
      <c r="B1" t="s">
        <v>15</v>
      </c>
      <c r="C1" t="s">
        <v>16</v>
      </c>
      <c r="D1" t="s">
        <v>17</v>
      </c>
    </row>
    <row r="2" spans="1:4" x14ac:dyDescent="0.45">
      <c r="A2" t="s">
        <v>18</v>
      </c>
      <c r="B2">
        <v>-0.1</v>
      </c>
      <c r="C2">
        <v>0.15</v>
      </c>
      <c r="D2" t="s">
        <v>19</v>
      </c>
    </row>
    <row r="3" spans="1:4" x14ac:dyDescent="0.45">
      <c r="A3" t="s">
        <v>20</v>
      </c>
      <c r="B3">
        <v>0</v>
      </c>
      <c r="C3">
        <v>0</v>
      </c>
      <c r="D3" t="s">
        <v>21</v>
      </c>
    </row>
    <row r="4" spans="1:4" x14ac:dyDescent="0.45">
      <c r="A4" t="s">
        <v>22</v>
      </c>
      <c r="B4">
        <v>0.1</v>
      </c>
      <c r="C4">
        <v>-0.05</v>
      </c>
      <c r="D4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/>
  </sheetViews>
  <sheetFormatPr defaultRowHeight="14.25" x14ac:dyDescent="0.45"/>
  <sheetData>
    <row r="1" spans="1:1" x14ac:dyDescent="0.45">
      <c r="A1" t="s">
        <v>24</v>
      </c>
    </row>
    <row r="3" spans="1:1" x14ac:dyDescent="0.45">
      <c r="A3" t="s">
        <v>25</v>
      </c>
    </row>
    <row r="4" spans="1:1" x14ac:dyDescent="0.45">
      <c r="A4" t="s">
        <v>26</v>
      </c>
    </row>
    <row r="5" spans="1:1" x14ac:dyDescent="0.45">
      <c r="A5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Cost_Structure</vt:lpstr>
      <vt:lpstr>Pricing_Model</vt:lpstr>
      <vt:lpstr>Scenario_Analysis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2026-01-26T06:58:04Z</dcterms:created>
  <dcterms:modified xsi:type="dcterms:W3CDTF">2026-01-26T06:59:20Z</dcterms:modified>
</cp:coreProperties>
</file>