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84C33431-B2BF-4B4F-A788-5FA03837E676}" xr6:coauthVersionLast="47" xr6:coauthVersionMax="47" xr10:uidLastSave="{00000000-0000-0000-0000-000000000000}"/>
  <bookViews>
    <workbookView xWindow="-98" yWindow="-98" windowWidth="27076" windowHeight="16395" activeTab="4" xr2:uid="{62EF5A24-3FE1-4FD0-B36A-849C501314B2}"/>
  </bookViews>
  <sheets>
    <sheet name="Raw_Product_Data" sheetId="1" r:id="rId1"/>
    <sheet name="Inventory_Parameters" sheetId="2" r:id="rId2"/>
    <sheet name="EOQ_Model" sheetId="3" r:id="rId3"/>
    <sheet name="Safety_Stock" sheetId="4" r:id="rId4"/>
    <sheet name="Scenario 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2" i="4"/>
  <c r="D3" i="4"/>
  <c r="D4" i="4"/>
  <c r="D2" i="4"/>
  <c r="C3" i="4"/>
  <c r="C4" i="4"/>
  <c r="C2" i="4"/>
  <c r="B3" i="4"/>
  <c r="B4" i="4"/>
  <c r="B2" i="4"/>
  <c r="A3" i="4"/>
  <c r="A4" i="4"/>
  <c r="A2" i="4"/>
  <c r="E3" i="3"/>
  <c r="E4" i="3"/>
  <c r="E2" i="3"/>
  <c r="D3" i="3"/>
  <c r="D4" i="3"/>
  <c r="D2" i="3"/>
  <c r="C3" i="3"/>
  <c r="C4" i="3"/>
  <c r="C2" i="3"/>
  <c r="B2" i="3"/>
  <c r="B3" i="3"/>
  <c r="B4" i="3"/>
  <c r="A3" i="3"/>
  <c r="A4" i="3"/>
  <c r="A2" i="3"/>
</calcChain>
</file>

<file path=xl/sharedStrings.xml><?xml version="1.0" encoding="utf-8"?>
<sst xmlns="http://schemas.openxmlformats.org/spreadsheetml/2006/main" count="31" uniqueCount="27">
  <si>
    <t>Product</t>
  </si>
  <si>
    <t>Annual_Demand</t>
  </si>
  <si>
    <t>Unit_Cost</t>
  </si>
  <si>
    <t>Shampoo</t>
  </si>
  <si>
    <t>Soap</t>
  </si>
  <si>
    <t>Toothpaste</t>
  </si>
  <si>
    <t>Parameter</t>
  </si>
  <si>
    <t>Value</t>
  </si>
  <si>
    <t>Ordering_Cost</t>
  </si>
  <si>
    <t>Holding_Cost_%</t>
  </si>
  <si>
    <t>Lead_Time_Days</t>
  </si>
  <si>
    <t>Service_Level_Z</t>
  </si>
  <si>
    <t>Holding_Cost</t>
  </si>
  <si>
    <t>EOQ</t>
  </si>
  <si>
    <t>Daily Demand</t>
  </si>
  <si>
    <t>Demand Standard</t>
  </si>
  <si>
    <t>Safety Stock</t>
  </si>
  <si>
    <t>Reorder Point</t>
  </si>
  <si>
    <t>Scenario</t>
  </si>
  <si>
    <t>Demand_Change</t>
  </si>
  <si>
    <t>Impact</t>
  </si>
  <si>
    <t>Low Demand</t>
  </si>
  <si>
    <t>Lower EOQ, reduced holding cost</t>
  </si>
  <si>
    <t>Base</t>
  </si>
  <si>
    <t>Current planning assumptions</t>
  </si>
  <si>
    <t>High Demand</t>
  </si>
  <si>
    <t>Higher EOQ and safety stock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</si>
</sst>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4239-7B2E-445B-8053-551E34C4FD13}">
  <dimension ref="A1:C4"/>
  <sheetViews>
    <sheetView workbookViewId="0">
      <selection activeCell="E15" sqref="E15"/>
    </sheetView>
  </sheetViews>
  <sheetFormatPr defaultRowHeight="14.25" x14ac:dyDescent="0.45"/>
  <cols>
    <col min="1" max="3" width="8.6640625" bestFit="1" customWidth="1"/>
  </cols>
  <sheetData>
    <row r="1" spans="1:3" ht="28.5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>
        <v>120000</v>
      </c>
      <c r="C2" s="2">
        <v>70</v>
      </c>
    </row>
    <row r="3" spans="1:3" x14ac:dyDescent="0.45">
      <c r="A3" s="2" t="s">
        <v>4</v>
      </c>
      <c r="B3" s="2">
        <v>300000</v>
      </c>
      <c r="C3" s="2">
        <v>22</v>
      </c>
    </row>
    <row r="4" spans="1:3" ht="28.5" x14ac:dyDescent="0.45">
      <c r="A4" s="2" t="s">
        <v>5</v>
      </c>
      <c r="B4" s="2">
        <v>180000</v>
      </c>
      <c r="C4" s="2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FC78-9F7D-4475-876A-00EE9D0B2DD7}">
  <dimension ref="A1:B5"/>
  <sheetViews>
    <sheetView workbookViewId="0">
      <selection sqref="A1:B5"/>
    </sheetView>
  </sheetViews>
  <sheetFormatPr defaultRowHeight="14.25" x14ac:dyDescent="0.45"/>
  <cols>
    <col min="1" max="1" width="14.73046875" customWidth="1"/>
  </cols>
  <sheetData>
    <row r="1" spans="1:2" ht="28.5" x14ac:dyDescent="0.45">
      <c r="A1" s="1" t="s">
        <v>6</v>
      </c>
      <c r="B1" s="1" t="s">
        <v>7</v>
      </c>
    </row>
    <row r="2" spans="1:2" ht="28.5" x14ac:dyDescent="0.45">
      <c r="A2" s="2" t="s">
        <v>8</v>
      </c>
      <c r="B2" s="2">
        <v>5000</v>
      </c>
    </row>
    <row r="3" spans="1:2" ht="28.5" x14ac:dyDescent="0.45">
      <c r="A3" s="2" t="s">
        <v>9</v>
      </c>
      <c r="B3" s="2">
        <v>0.2</v>
      </c>
    </row>
    <row r="4" spans="1:2" ht="28.5" x14ac:dyDescent="0.45">
      <c r="A4" s="2" t="s">
        <v>10</v>
      </c>
      <c r="B4" s="2">
        <v>10</v>
      </c>
    </row>
    <row r="5" spans="1:2" ht="28.5" x14ac:dyDescent="0.45">
      <c r="A5" s="2" t="s">
        <v>11</v>
      </c>
      <c r="B5" s="2">
        <v>1.65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E742-8AD3-4F01-8775-3B8876683281}">
  <dimension ref="A1:E4"/>
  <sheetViews>
    <sheetView workbookViewId="0">
      <selection activeCell="B2" sqref="B2"/>
    </sheetView>
  </sheetViews>
  <sheetFormatPr defaultRowHeight="14.25" x14ac:dyDescent="0.45"/>
  <cols>
    <col min="1" max="1" width="6.86328125" bestFit="1" customWidth="1"/>
    <col min="2" max="2" width="13.86328125" bestFit="1" customWidth="1"/>
    <col min="3" max="3" width="12" bestFit="1" customWidth="1"/>
    <col min="4" max="4" width="11.1328125" bestFit="1" customWidth="1"/>
    <col min="5" max="5" width="13.1328125" customWidth="1"/>
  </cols>
  <sheetData>
    <row r="1" spans="1:5" x14ac:dyDescent="0.45">
      <c r="A1" t="s">
        <v>0</v>
      </c>
      <c r="B1" t="s">
        <v>1</v>
      </c>
      <c r="C1" t="s">
        <v>8</v>
      </c>
      <c r="D1" t="s">
        <v>12</v>
      </c>
      <c r="E1" t="s">
        <v>13</v>
      </c>
    </row>
    <row r="2" spans="1:5" x14ac:dyDescent="0.45">
      <c r="A2" t="str">
        <f>Raw_Product_Data!A2</f>
        <v>Shampoo</v>
      </c>
      <c r="B2">
        <f>Raw_Product_Data!B2</f>
        <v>120000</v>
      </c>
      <c r="C2">
        <f>Inventory_Parameters!$B$2</f>
        <v>5000</v>
      </c>
      <c r="D2">
        <f>Inventory_Parameters!$B$3*C2</f>
        <v>1000</v>
      </c>
      <c r="E2" s="3">
        <f>SQRT((2*B2*C2)/D2)</f>
        <v>1095.4451150103323</v>
      </c>
    </row>
    <row r="3" spans="1:5" x14ac:dyDescent="0.45">
      <c r="A3" t="str">
        <f>Raw_Product_Data!A3</f>
        <v>Soap</v>
      </c>
      <c r="B3">
        <f>Raw_Product_Data!B3</f>
        <v>300000</v>
      </c>
      <c r="C3">
        <f>Inventory_Parameters!$B$2</f>
        <v>5000</v>
      </c>
      <c r="D3">
        <f>Inventory_Parameters!$B$3*C3</f>
        <v>1000</v>
      </c>
      <c r="E3" s="3">
        <f t="shared" ref="E3:E4" si="0">SQRT((2*B3*C3)/D3)</f>
        <v>1732.0508075688772</v>
      </c>
    </row>
    <row r="4" spans="1:5" x14ac:dyDescent="0.45">
      <c r="A4" t="str">
        <f>Raw_Product_Data!A4</f>
        <v>Toothpaste</v>
      </c>
      <c r="B4">
        <f>Raw_Product_Data!B4</f>
        <v>180000</v>
      </c>
      <c r="C4">
        <f>Inventory_Parameters!$B$2</f>
        <v>5000</v>
      </c>
      <c r="D4">
        <f>Inventory_Parameters!$B$3*C4</f>
        <v>1000</v>
      </c>
      <c r="E4" s="3">
        <f t="shared" si="0"/>
        <v>1341.6407864998739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9FF5-2AE1-4D56-B3C2-07220FE407F4}">
  <dimension ref="A1:E4"/>
  <sheetViews>
    <sheetView workbookViewId="0">
      <selection activeCell="E2" sqref="E2:E4"/>
    </sheetView>
  </sheetViews>
  <sheetFormatPr defaultRowHeight="14.25" x14ac:dyDescent="0.45"/>
  <cols>
    <col min="1" max="1" width="10.1328125" customWidth="1"/>
    <col min="2" max="2" width="11.73046875" bestFit="1" customWidth="1"/>
    <col min="3" max="3" width="14.9296875" bestFit="1" customWidth="1"/>
    <col min="4" max="4" width="10.265625" bestFit="1" customWidth="1"/>
    <col min="5" max="5" width="11.59765625" bestFit="1" customWidth="1"/>
  </cols>
  <sheetData>
    <row r="1" spans="1:5" x14ac:dyDescent="0.45">
      <c r="A1" t="s">
        <v>0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45">
      <c r="A2" t="str">
        <f>Raw_Product_Data!A2</f>
        <v>Shampoo</v>
      </c>
      <c r="B2" s="3">
        <f>Raw_Product_Data!B2/365</f>
        <v>328.76712328767121</v>
      </c>
      <c r="C2" s="3">
        <f>B2*0.25</f>
        <v>82.191780821917803</v>
      </c>
      <c r="D2" s="3">
        <f>Inventory_Parameters!$B$5*C2*SQRT(Inventory_Parameters!$B$4)</f>
        <v>428.8568333653007</v>
      </c>
      <c r="E2" s="3">
        <f>D2+(B2*Inventory_Parameters!$B$4)</f>
        <v>3716.5280662420128</v>
      </c>
    </row>
    <row r="3" spans="1:5" x14ac:dyDescent="0.45">
      <c r="A3" t="str">
        <f>Raw_Product_Data!A3</f>
        <v>Soap</v>
      </c>
      <c r="B3" s="3">
        <f>Raw_Product_Data!B3/365</f>
        <v>821.91780821917803</v>
      </c>
      <c r="C3" s="3">
        <f t="shared" ref="C3:C4" si="0">B3*0.25</f>
        <v>205.47945205479451</v>
      </c>
      <c r="D3" s="3">
        <f>Inventory_Parameters!$B$5*C3*SQRT(Inventory_Parameters!$B$4)</f>
        <v>1072.1420834132518</v>
      </c>
      <c r="E3" s="3">
        <f>D3+(B3*Inventory_Parameters!$B$4)</f>
        <v>9291.3201656050314</v>
      </c>
    </row>
    <row r="4" spans="1:5" x14ac:dyDescent="0.45">
      <c r="A4" t="str">
        <f>Raw_Product_Data!A4</f>
        <v>Toothpaste</v>
      </c>
      <c r="B4" s="3">
        <f>Raw_Product_Data!B4/365</f>
        <v>493.15068493150687</v>
      </c>
      <c r="C4" s="3">
        <f t="shared" si="0"/>
        <v>123.28767123287672</v>
      </c>
      <c r="D4" s="3">
        <f>Inventory_Parameters!$B$5*C4*SQRT(Inventory_Parameters!$B$4)</f>
        <v>643.28525004795119</v>
      </c>
      <c r="E4" s="3">
        <f>D4+(B4*Inventory_Parameters!$B$4)</f>
        <v>5574.7920993630196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756F-5BC5-4A93-87A5-F4A741DB082A}">
  <dimension ref="A1:C4"/>
  <sheetViews>
    <sheetView tabSelected="1" workbookViewId="0">
      <selection activeCell="B2" sqref="B2"/>
    </sheetView>
  </sheetViews>
  <sheetFormatPr defaultColWidth="19.33203125" defaultRowHeight="14.25" x14ac:dyDescent="0.45"/>
  <sheetData>
    <row r="1" spans="1:3" x14ac:dyDescent="0.45">
      <c r="A1" s="1" t="s">
        <v>18</v>
      </c>
      <c r="B1" s="1" t="s">
        <v>19</v>
      </c>
      <c r="C1" s="1" t="s">
        <v>20</v>
      </c>
    </row>
    <row r="2" spans="1:3" ht="28.5" x14ac:dyDescent="0.45">
      <c r="A2" s="2" t="s">
        <v>21</v>
      </c>
      <c r="B2" s="4">
        <v>-0.15</v>
      </c>
      <c r="C2" s="2" t="s">
        <v>22</v>
      </c>
    </row>
    <row r="3" spans="1:3" ht="28.5" x14ac:dyDescent="0.45">
      <c r="A3" s="2" t="s">
        <v>23</v>
      </c>
      <c r="B3" s="4">
        <v>0</v>
      </c>
      <c r="C3" s="2" t="s">
        <v>24</v>
      </c>
    </row>
    <row r="4" spans="1:3" ht="28.5" x14ac:dyDescent="0.45">
      <c r="A4" s="2" t="s">
        <v>25</v>
      </c>
      <c r="B4" s="4">
        <v>0.2</v>
      </c>
      <c r="C4" s="2" t="s">
        <v>26</v>
      </c>
    </row>
  </sheetData>
  <scenarios current="0">
    <scenario name="low demand" locked="1" count="1" user="admin" comment="Created by admin on 27-01-2026">
      <inputCells r="B2" val="-0.15" numFmtId="9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Raw_Product_Data</vt:lpstr>
      <vt:lpstr>Inventory_Parameters</vt:lpstr>
      <vt:lpstr>EOQ_Model</vt:lpstr>
      <vt:lpstr>Safety_Stock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2026-01-27T04:48:32Z</dcterms:created>
  <dcterms:modified xsi:type="dcterms:W3CDTF">2026-01-27T05:11:32Z</dcterms:modified>
</cp:coreProperties>
</file>