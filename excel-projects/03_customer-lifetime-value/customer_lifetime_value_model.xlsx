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4962CD2D-C100-4414-A7CE-18D7673E7DD8}" xr6:coauthVersionLast="47" xr6:coauthVersionMax="47" xr10:uidLastSave="{00000000-0000-0000-0000-000000000000}"/>
  <bookViews>
    <workbookView xWindow="-98" yWindow="-98" windowWidth="27076" windowHeight="16395" activeTab="4" xr2:uid="{00000000-000D-0000-FFFF-FFFF00000000}"/>
  </bookViews>
  <sheets>
    <sheet name="Raw_Customer_Data" sheetId="1" r:id="rId1"/>
    <sheet name="CLV_Metrics" sheetId="2" r:id="rId2"/>
    <sheet name="CLV_Model" sheetId="3" r:id="rId3"/>
    <sheet name="Segmentation" sheetId="4" r:id="rId4"/>
    <sheet name="Insight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3" l="1"/>
  <c r="C5" i="3" s="1"/>
  <c r="D5" i="3" s="1"/>
  <c r="B5" i="4" s="1"/>
  <c r="C5" i="4" s="1"/>
  <c r="A5" i="3"/>
  <c r="A5" i="4" s="1"/>
  <c r="B4" i="3"/>
  <c r="C4" i="3" s="1"/>
  <c r="D4" i="3" s="1"/>
  <c r="B4" i="4" s="1"/>
  <c r="C4" i="4" s="1"/>
  <c r="A4" i="3"/>
  <c r="A4" i="4" s="1"/>
  <c r="B3" i="3"/>
  <c r="C3" i="3" s="1"/>
  <c r="D3" i="3" s="1"/>
  <c r="B3" i="4" s="1"/>
  <c r="C3" i="4" s="1"/>
  <c r="A3" i="3"/>
  <c r="A3" i="4" s="1"/>
  <c r="B2" i="3"/>
  <c r="C2" i="3" s="1"/>
  <c r="D2" i="3" s="1"/>
  <c r="B2" i="4" s="1"/>
  <c r="C2" i="4" s="1"/>
  <c r="A2" i="3"/>
  <c r="A2" i="4" s="1"/>
</calcChain>
</file>

<file path=xl/sharedStrings.xml><?xml version="1.0" encoding="utf-8"?>
<sst xmlns="http://schemas.openxmlformats.org/spreadsheetml/2006/main" count="24" uniqueCount="21">
  <si>
    <t>Customer_ID</t>
  </si>
  <si>
    <t>Avg_Order_Value</t>
  </si>
  <si>
    <t>Purchase_Frequency</t>
  </si>
  <si>
    <t>Retention_Rate</t>
  </si>
  <si>
    <t>Acquisition_Cost</t>
  </si>
  <si>
    <t>C001</t>
  </si>
  <si>
    <t>C002</t>
  </si>
  <si>
    <t>C003</t>
  </si>
  <si>
    <t>C004</t>
  </si>
  <si>
    <t>Metric</t>
  </si>
  <si>
    <t>Value</t>
  </si>
  <si>
    <t>Discount_Rate</t>
  </si>
  <si>
    <t>Time_Horizon_Years</t>
  </si>
  <si>
    <t>Annual_Revenue</t>
  </si>
  <si>
    <t>Gross_CLV</t>
  </si>
  <si>
    <t>Net_CLV</t>
  </si>
  <si>
    <t>Segment</t>
  </si>
  <si>
    <t>Key Business Insights</t>
  </si>
  <si>
    <t>• High-value customers generate significantly higher lifetime profit</t>
  </si>
  <si>
    <t>• Retention rate has a stronger impact on CLV than acquisition cost</t>
  </si>
  <si>
    <t>• Low CLV customers require cost-effective engagement strategies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</si>
</sst>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E2" sqref="E2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1200</v>
      </c>
      <c r="C2">
        <v>6</v>
      </c>
      <c r="D2">
        <v>0.65</v>
      </c>
      <c r="E2">
        <v>1500</v>
      </c>
    </row>
    <row r="3" spans="1:5" x14ac:dyDescent="0.45">
      <c r="A3" t="s">
        <v>6</v>
      </c>
      <c r="B3">
        <v>800</v>
      </c>
      <c r="C3">
        <v>4</v>
      </c>
      <c r="D3">
        <v>0.55000000000000004</v>
      </c>
      <c r="E3">
        <v>1200</v>
      </c>
    </row>
    <row r="4" spans="1:5" x14ac:dyDescent="0.45">
      <c r="A4" t="s">
        <v>7</v>
      </c>
      <c r="B4">
        <v>1500</v>
      </c>
      <c r="C4">
        <v>8</v>
      </c>
      <c r="D4">
        <v>0.75</v>
      </c>
      <c r="E4">
        <v>2000</v>
      </c>
    </row>
    <row r="5" spans="1:5" x14ac:dyDescent="0.45">
      <c r="A5" t="s">
        <v>8</v>
      </c>
      <c r="B5">
        <v>600</v>
      </c>
      <c r="C5">
        <v>3</v>
      </c>
      <c r="D5">
        <v>0.45</v>
      </c>
      <c r="E5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9</v>
      </c>
      <c r="B1" t="s">
        <v>10</v>
      </c>
    </row>
    <row r="2" spans="1:2" x14ac:dyDescent="0.45">
      <c r="A2" t="s">
        <v>11</v>
      </c>
      <c r="B2">
        <v>0.1</v>
      </c>
    </row>
    <row r="3" spans="1:2" x14ac:dyDescent="0.45">
      <c r="A3" t="s">
        <v>12</v>
      </c>
      <c r="B3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D2" sqref="D2"/>
    </sheetView>
  </sheetViews>
  <sheetFormatPr defaultRowHeight="14.25" x14ac:dyDescent="0.45"/>
  <sheetData>
    <row r="1" spans="1:4" x14ac:dyDescent="0.45">
      <c r="A1" t="s">
        <v>0</v>
      </c>
      <c r="B1" t="s">
        <v>13</v>
      </c>
      <c r="C1" t="s">
        <v>14</v>
      </c>
      <c r="D1" t="s">
        <v>15</v>
      </c>
    </row>
    <row r="2" spans="1:4" x14ac:dyDescent="0.45">
      <c r="A2" t="str">
        <f>Raw_Customer_Data!A2</f>
        <v>C001</v>
      </c>
      <c r="B2">
        <f>Raw_Customer_Data!B2*Raw_Customer_Data!C2</f>
        <v>7200</v>
      </c>
      <c r="C2">
        <f>B2*Raw_Customer_Data!D2*(1-(1+CLV_Metrics!B2)^-CLV_Metrics!B3)/CLV_Metrics!B2</f>
        <v>17740.88208083155</v>
      </c>
      <c r="D2">
        <f>C2-Raw_Customer_Data!E2</f>
        <v>16240.88208083155</v>
      </c>
    </row>
    <row r="3" spans="1:4" x14ac:dyDescent="0.45">
      <c r="A3" t="str">
        <f>Raw_Customer_Data!A3</f>
        <v>C002</v>
      </c>
      <c r="B3">
        <f>Raw_Customer_Data!B3*Raw_Customer_Data!C3</f>
        <v>3200</v>
      </c>
      <c r="C3">
        <f>B3*Raw_Customer_Data!D3*(1-(1+CLV_Metrics!B2)^-CLV_Metrics!B3)/CLV_Metrics!B2</f>
        <v>6671.7847141588736</v>
      </c>
      <c r="D3">
        <f>C3-Raw_Customer_Data!E3</f>
        <v>5471.7847141588736</v>
      </c>
    </row>
    <row r="4" spans="1:4" x14ac:dyDescent="0.45">
      <c r="A4" t="str">
        <f>Raw_Customer_Data!A4</f>
        <v>C003</v>
      </c>
      <c r="B4">
        <f>Raw_Customer_Data!B4*Raw_Customer_Data!C4</f>
        <v>12000</v>
      </c>
      <c r="C4">
        <f>B4*Raw_Customer_Data!D4*(1-(1+CLV_Metrics!B2)^-CLV_Metrics!B3)/CLV_Metrics!B2</f>
        <v>34117.080924676055</v>
      </c>
      <c r="D4">
        <f>C4-Raw_Customer_Data!E4</f>
        <v>32117.080924676055</v>
      </c>
    </row>
    <row r="5" spans="1:4" x14ac:dyDescent="0.45">
      <c r="A5" t="str">
        <f>Raw_Customer_Data!A5</f>
        <v>C004</v>
      </c>
      <c r="B5">
        <f>Raw_Customer_Data!B5*Raw_Customer_Data!C5</f>
        <v>1800</v>
      </c>
      <c r="C5">
        <f>B5*Raw_Customer_Data!D5*(1-(1+CLV_Metrics!B2)^-CLV_Metrics!B3)/CLV_Metrics!B2</f>
        <v>3070.537283220845</v>
      </c>
      <c r="D5">
        <f>C5-Raw_Customer_Data!E5</f>
        <v>2170.537283220845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C2" sqref="C2"/>
    </sheetView>
  </sheetViews>
  <sheetFormatPr defaultRowHeight="14.25" x14ac:dyDescent="0.45"/>
  <sheetData>
    <row r="1" spans="1:3" x14ac:dyDescent="0.45">
      <c r="A1" t="s">
        <v>0</v>
      </c>
      <c r="B1" t="s">
        <v>15</v>
      </c>
      <c r="C1" t="s">
        <v>16</v>
      </c>
    </row>
    <row r="2" spans="1:3" x14ac:dyDescent="0.45">
      <c r="A2" t="str">
        <f>CLV_Model!A2</f>
        <v>C001</v>
      </c>
      <c r="B2">
        <f>CLV_Model!D2</f>
        <v>16240.88208083155</v>
      </c>
      <c r="C2" t="str">
        <f>IF(B2&gt;5000,"High Value",IF(B2&gt;2500,"Medium Value","Low Value"))</f>
        <v>High Value</v>
      </c>
    </row>
    <row r="3" spans="1:3" x14ac:dyDescent="0.45">
      <c r="A3" t="str">
        <f>CLV_Model!A3</f>
        <v>C002</v>
      </c>
      <c r="B3">
        <f>CLV_Model!D3</f>
        <v>5471.7847141588736</v>
      </c>
      <c r="C3" t="str">
        <f>IF(B3&gt;5000,"High Value",IF(B3&gt;2500,"Medium Value","Low Value"))</f>
        <v>High Value</v>
      </c>
    </row>
    <row r="4" spans="1:3" x14ac:dyDescent="0.45">
      <c r="A4" t="str">
        <f>CLV_Model!A4</f>
        <v>C003</v>
      </c>
      <c r="B4">
        <f>CLV_Model!D4</f>
        <v>32117.080924676055</v>
      </c>
      <c r="C4" t="str">
        <f>IF(B4&gt;5000,"High Value",IF(B4&gt;2500,"Medium Value","Low Value"))</f>
        <v>High Value</v>
      </c>
    </row>
    <row r="5" spans="1:3" x14ac:dyDescent="0.45">
      <c r="A5" t="str">
        <f>CLV_Model!A5</f>
        <v>C004</v>
      </c>
      <c r="B5">
        <f>CLV_Model!D5</f>
        <v>2170.537283220845</v>
      </c>
      <c r="C5" t="str">
        <f>IF(B5&gt;5000,"High Value",IF(B5&gt;2500,"Medium Value","Low Value"))</f>
        <v>Low Value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tabSelected="1" workbookViewId="0"/>
  </sheetViews>
  <sheetFormatPr defaultRowHeight="14.25" x14ac:dyDescent="0.45"/>
  <sheetData>
    <row r="1" spans="1:1" x14ac:dyDescent="0.45">
      <c r="A1" t="s">
        <v>17</v>
      </c>
    </row>
    <row r="3" spans="1:1" x14ac:dyDescent="0.45">
      <c r="A3" t="s">
        <v>18</v>
      </c>
    </row>
    <row r="4" spans="1:1" x14ac:dyDescent="0.45">
      <c r="A4" t="s">
        <v>19</v>
      </c>
    </row>
    <row r="5" spans="1:1" x14ac:dyDescent="0.45">
      <c r="A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Raw_Customer_Data</vt:lpstr>
      <vt:lpstr>CLV_Metrics</vt:lpstr>
      <vt:lpstr>CLV_Model</vt:lpstr>
      <vt:lpstr>Segmentation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2026-01-26T07:00:53Z</dcterms:created>
  <dcterms:modified xsi:type="dcterms:W3CDTF">2026-01-26T07:02:51Z</dcterms:modified>
</cp:coreProperties>
</file>